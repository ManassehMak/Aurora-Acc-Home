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AuroraExcel\"/>
    </mc:Choice>
  </mc:AlternateContent>
  <xr:revisionPtr revIDLastSave="0" documentId="13_ncr:1_{DCCF7B8F-54A2-46C5-A613-2CA6BAD9B8A7}" xr6:coauthVersionLast="47" xr6:coauthVersionMax="47" xr10:uidLastSave="{00000000-0000-0000-0000-000000000000}"/>
  <bookViews>
    <workbookView xWindow="930" yWindow="630" windowWidth="26835" windowHeight="15015" activeTab="5" xr2:uid="{00000000-000D-0000-FFFF-FFFF00000000}"/>
  </bookViews>
  <sheets>
    <sheet name="Справочники" sheetId="1" r:id="rId1"/>
    <sheet name="Закупки" sheetId="2" r:id="rId2"/>
    <sheet name="Заливки" sheetId="3" r:id="rId3"/>
    <sheet name="Финансовые_расходы" sheetId="4" r:id="rId4"/>
    <sheet name="Ввод_данных" sheetId="5" r:id="rId5"/>
    <sheet name="Дашборд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4" l="1"/>
  <c r="E5" i="4"/>
  <c r="E4" i="4"/>
  <c r="E3" i="4"/>
  <c r="E2" i="4"/>
  <c r="I6" i="3"/>
  <c r="I5" i="3"/>
  <c r="I4" i="3"/>
  <c r="I3" i="3"/>
  <c r="I2" i="3"/>
  <c r="H6" i="2"/>
  <c r="G6" i="2"/>
  <c r="H5" i="2"/>
  <c r="G5" i="2"/>
  <c r="H4" i="2"/>
  <c r="G4" i="2"/>
  <c r="H3" i="2"/>
  <c r="G3" i="2"/>
  <c r="H2" i="2"/>
  <c r="G2" i="2"/>
</calcChain>
</file>

<file path=xl/sharedStrings.xml><?xml version="1.0" encoding="utf-8"?>
<sst xmlns="http://schemas.openxmlformats.org/spreadsheetml/2006/main" count="112" uniqueCount="63">
  <si>
    <t>ID_Типа</t>
  </si>
  <si>
    <t>Название</t>
  </si>
  <si>
    <t>Единица_измерения</t>
  </si>
  <si>
    <t>ID_Материала</t>
  </si>
  <si>
    <t>МБН-Маркет</t>
  </si>
  <si>
    <t>Арматура д12</t>
  </si>
  <si>
    <t>кг</t>
  </si>
  <si>
    <t>Аренда</t>
  </si>
  <si>
    <t>Петербургцемент</t>
  </si>
  <si>
    <t>Цемент М500 Д20</t>
  </si>
  <si>
    <t>Зарплата</t>
  </si>
  <si>
    <t>ПУЛЬС</t>
  </si>
  <si>
    <t>Гранулы ПП</t>
  </si>
  <si>
    <t>м³</t>
  </si>
  <si>
    <t>Прочее</t>
  </si>
  <si>
    <t>ООО КВК</t>
  </si>
  <si>
    <t>СДО</t>
  </si>
  <si>
    <t>л</t>
  </si>
  <si>
    <t>Петрович</t>
  </si>
  <si>
    <t>Пластификатор ССМ-Р1</t>
  </si>
  <si>
    <t>ID_Закупки</t>
  </si>
  <si>
    <t>Дата</t>
  </si>
  <si>
    <t>Поставщик</t>
  </si>
  <si>
    <t>Материал</t>
  </si>
  <si>
    <t>Количество</t>
  </si>
  <si>
    <t>Сумма</t>
  </si>
  <si>
    <t>Год</t>
  </si>
  <si>
    <t>Квартал</t>
  </si>
  <si>
    <t>2 м³</t>
  </si>
  <si>
    <t>176 л</t>
  </si>
  <si>
    <t>3420 кг</t>
  </si>
  <si>
    <t>149 л</t>
  </si>
  <si>
    <t>1 м³</t>
  </si>
  <si>
    <t>ID_Заливки</t>
  </si>
  <si>
    <t>ID_Сборки</t>
  </si>
  <si>
    <t>Объем_м3</t>
  </si>
  <si>
    <t>Стоимость_цемента</t>
  </si>
  <si>
    <t>Стоимость_гранул</t>
  </si>
  <si>
    <t>Стоимость_СДО</t>
  </si>
  <si>
    <t>Стоимость_арматуры</t>
  </si>
  <si>
    <t>Себестоимость_м3</t>
  </si>
  <si>
    <t>Расход_цемента_тн</t>
  </si>
  <si>
    <t>Расход_гранул_м3</t>
  </si>
  <si>
    <t>Расход_СДО_л</t>
  </si>
  <si>
    <t>Расход_арматуры_тн</t>
  </si>
  <si>
    <t>04/15-3</t>
  </si>
  <si>
    <t>05/23-1</t>
  </si>
  <si>
    <t>01/30-5</t>
  </si>
  <si>
    <t>02/18-2</t>
  </si>
  <si>
    <t>03/16-2</t>
  </si>
  <si>
    <t>ID_Расхода</t>
  </si>
  <si>
    <t>Тип_расхода</t>
  </si>
  <si>
    <t>Вклад_в_себестоимость_м3</t>
  </si>
  <si>
    <t>Поле</t>
  </si>
  <si>
    <t>Значение</t>
  </si>
  <si>
    <t>Инструкции по настройке дашборда:</t>
  </si>
  <si>
    <t>1. Создайте сводную таблицу для Закупки (Источник: Закупки!A:H, Строки: Год, Квартал, Значения: Сумма, Количество).</t>
  </si>
  <si>
    <t>2. Создайте столбчатую диаграмму для Сумма по кварталам.</t>
  </si>
  <si>
    <t>3. Создайте сводную таблицу для Заливки (Источник: Заливки!A:M, Строки: Месяц, Год, Значения: Объем_м3, Себестоимость_м3).</t>
  </si>
  <si>
    <t>4. Создайте линейный график для Себестоимость_м3 по месяцам.</t>
  </si>
  <si>
    <t>5. Создайте сводную таблицу для Финансовые_расходы (Источник: Финансовые_расходы!A:E, Строки: Тип_расхода, Значения: Сумма).</t>
  </si>
  <si>
    <t>6. Создайте круговую диаграмму для распределения расходов.</t>
  </si>
  <si>
    <t>7. Добавьте срезы: Год, Квартал, Месяц, Материал, Тип_расхода.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</si>
</sst>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:mm:ss"/>
  </numFmts>
  <fonts count="3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4F81BD"/>
        <bgColor rgb="FF4F81BD"/>
      </patternFill>
    </fill>
    <fill>
      <patternFill patternType="solid">
        <fgColor rgb="FFFFFF99"/>
        <bgColor rgb="FFFFFF99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0" fillId="3" borderId="1" xfId="0" applyFill="1" applyBorder="1"/>
    <xf numFmtId="14" fontId="0" fillId="3" borderId="1" xfId="0" applyNumberFormat="1" applyFill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J6"/>
  <sheetViews>
    <sheetView workbookViewId="0"/>
  </sheetViews>
  <sheetFormatPr defaultRowHeight="15" x14ac:dyDescent="0.25"/>
  <cols>
    <col min="1" max="1" width="15" customWidth="1"/>
    <col min="2" max="2" width="20" customWidth="1"/>
    <col min="4" max="4" width="15" customWidth="1"/>
    <col min="5" max="6" width="20" customWidth="1"/>
    <col min="9" max="10" width="1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1</v>
      </c>
      <c r="F1" s="2" t="s">
        <v>2</v>
      </c>
      <c r="I1" s="2" t="s">
        <v>0</v>
      </c>
      <c r="J1" s="2" t="s">
        <v>1</v>
      </c>
    </row>
    <row r="2" spans="1:10" x14ac:dyDescent="0.25">
      <c r="A2" s="2">
        <v>1</v>
      </c>
      <c r="B2" s="2" t="s">
        <v>4</v>
      </c>
      <c r="D2" s="2">
        <v>1</v>
      </c>
      <c r="E2" s="2" t="s">
        <v>5</v>
      </c>
      <c r="F2" s="2" t="s">
        <v>6</v>
      </c>
      <c r="I2" s="2">
        <v>1</v>
      </c>
      <c r="J2" s="2" t="s">
        <v>7</v>
      </c>
    </row>
    <row r="3" spans="1:10" x14ac:dyDescent="0.25">
      <c r="A3" s="2">
        <v>2</v>
      </c>
      <c r="B3" s="2" t="s">
        <v>8</v>
      </c>
      <c r="D3" s="2">
        <v>2</v>
      </c>
      <c r="E3" s="2" t="s">
        <v>9</v>
      </c>
      <c r="F3" s="2" t="s">
        <v>6</v>
      </c>
      <c r="I3" s="2">
        <v>2</v>
      </c>
      <c r="J3" s="2" t="s">
        <v>10</v>
      </c>
    </row>
    <row r="4" spans="1:10" x14ac:dyDescent="0.25">
      <c r="A4" s="2">
        <v>3</v>
      </c>
      <c r="B4" s="2" t="s">
        <v>11</v>
      </c>
      <c r="D4" s="2">
        <v>3</v>
      </c>
      <c r="E4" s="2" t="s">
        <v>12</v>
      </c>
      <c r="F4" s="2" t="s">
        <v>13</v>
      </c>
      <c r="I4" s="2">
        <v>3</v>
      </c>
      <c r="J4" s="2" t="s">
        <v>14</v>
      </c>
    </row>
    <row r="5" spans="1:10" x14ac:dyDescent="0.25">
      <c r="A5" s="2">
        <v>4</v>
      </c>
      <c r="B5" s="2" t="s">
        <v>15</v>
      </c>
      <c r="D5" s="2">
        <v>4</v>
      </c>
      <c r="E5" s="2" t="s">
        <v>16</v>
      </c>
      <c r="F5" s="2" t="s">
        <v>17</v>
      </c>
    </row>
    <row r="6" spans="1:10" x14ac:dyDescent="0.25">
      <c r="A6" s="2">
        <v>5</v>
      </c>
      <c r="B6" s="2" t="s">
        <v>18</v>
      </c>
      <c r="D6" s="2">
        <v>5</v>
      </c>
      <c r="E6" s="2" t="s">
        <v>19</v>
      </c>
      <c r="F6" s="2" t="s">
        <v>17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H6"/>
  <sheetViews>
    <sheetView workbookViewId="0"/>
  </sheetViews>
  <sheetFormatPr defaultRowHeight="15" x14ac:dyDescent="0.25"/>
  <cols>
    <col min="1" max="1" width="15" customWidth="1"/>
    <col min="2" max="2" width="19.42578125" customWidth="1"/>
    <col min="3" max="4" width="20" customWidth="1"/>
    <col min="5" max="6" width="15" customWidth="1"/>
    <col min="7" max="8" width="10" customWidth="1"/>
  </cols>
  <sheetData>
    <row r="1" spans="1:8" x14ac:dyDescent="0.25">
      <c r="A1" s="1" t="s">
        <v>20</v>
      </c>
      <c r="B1" s="1" t="s">
        <v>21</v>
      </c>
      <c r="C1" s="1" t="s">
        <v>22</v>
      </c>
      <c r="D1" s="1" t="s">
        <v>23</v>
      </c>
      <c r="E1" s="1" t="s">
        <v>24</v>
      </c>
      <c r="F1" s="1" t="s">
        <v>25</v>
      </c>
      <c r="G1" s="1" t="s">
        <v>26</v>
      </c>
      <c r="H1" s="1" t="s">
        <v>27</v>
      </c>
    </row>
    <row r="2" spans="1:8" x14ac:dyDescent="0.25">
      <c r="A2" s="2">
        <v>1</v>
      </c>
      <c r="B2" s="3">
        <v>44941</v>
      </c>
      <c r="C2" s="2" t="s">
        <v>15</v>
      </c>
      <c r="D2" s="2" t="s">
        <v>12</v>
      </c>
      <c r="E2" s="2" t="s">
        <v>28</v>
      </c>
      <c r="F2" s="2">
        <v>120000</v>
      </c>
      <c r="G2" s="2">
        <f>YEAR(B2)</f>
        <v>2023</v>
      </c>
      <c r="H2" s="2">
        <f>CEILING(MONTH(B2)/3,1)</f>
        <v>1</v>
      </c>
    </row>
    <row r="3" spans="1:8" x14ac:dyDescent="0.25">
      <c r="A3" s="2">
        <v>2</v>
      </c>
      <c r="B3" s="3">
        <v>45085</v>
      </c>
      <c r="C3" s="2" t="s">
        <v>15</v>
      </c>
      <c r="D3" s="2" t="s">
        <v>16</v>
      </c>
      <c r="E3" s="2" t="s">
        <v>29</v>
      </c>
      <c r="F3" s="2">
        <v>88000</v>
      </c>
      <c r="G3" s="2">
        <f>YEAR(B3)</f>
        <v>2023</v>
      </c>
      <c r="H3" s="2">
        <f>CEILING(MONTH(B3)/3,1)</f>
        <v>2</v>
      </c>
    </row>
    <row r="4" spans="1:8" x14ac:dyDescent="0.25">
      <c r="A4" s="2">
        <v>3</v>
      </c>
      <c r="B4" s="3">
        <v>44939</v>
      </c>
      <c r="C4" s="2" t="s">
        <v>18</v>
      </c>
      <c r="D4" s="2" t="s">
        <v>9</v>
      </c>
      <c r="E4" s="2" t="s">
        <v>30</v>
      </c>
      <c r="F4" s="2">
        <v>342000</v>
      </c>
      <c r="G4" s="2">
        <f>YEAR(B4)</f>
        <v>2023</v>
      </c>
      <c r="H4" s="2">
        <f>CEILING(MONTH(B4)/3,1)</f>
        <v>1</v>
      </c>
    </row>
    <row r="5" spans="1:8" x14ac:dyDescent="0.25">
      <c r="A5" s="2">
        <v>4</v>
      </c>
      <c r="B5" s="3">
        <v>45031</v>
      </c>
      <c r="C5" s="2" t="s">
        <v>11</v>
      </c>
      <c r="D5" s="2" t="s">
        <v>16</v>
      </c>
      <c r="E5" s="2" t="s">
        <v>31</v>
      </c>
      <c r="F5" s="2">
        <v>74500</v>
      </c>
      <c r="G5" s="2">
        <f>YEAR(B5)</f>
        <v>2023</v>
      </c>
      <c r="H5" s="2">
        <f>CEILING(MONTH(B5)/3,1)</f>
        <v>2</v>
      </c>
    </row>
    <row r="6" spans="1:8" x14ac:dyDescent="0.25">
      <c r="A6" s="2">
        <v>5</v>
      </c>
      <c r="B6" s="3">
        <v>45020</v>
      </c>
      <c r="C6" s="2" t="s">
        <v>11</v>
      </c>
      <c r="D6" s="2" t="s">
        <v>12</v>
      </c>
      <c r="E6" s="2" t="s">
        <v>32</v>
      </c>
      <c r="F6" s="2">
        <v>60000</v>
      </c>
      <c r="G6" s="2">
        <f>YEAR(B6)</f>
        <v>2023</v>
      </c>
      <c r="H6" s="2">
        <f>CEILING(MONTH(B6)/3,1)</f>
        <v>2</v>
      </c>
    </row>
  </sheetData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100-000000000000}">
          <x14:formula1>
            <xm:f>Справочники!$B$2:$B$6</xm:f>
          </x14:formula1>
          <xm:sqref>C2:C100</xm:sqref>
        </x14:dataValidation>
        <x14:dataValidation type="list" allowBlank="1" xr:uid="{00000000-0002-0000-0100-000001000000}">
          <x14:formula1>
            <xm:f>Справочники!$E$2:$E$6</xm:f>
          </x14:formula1>
          <xm:sqref>D2:D100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6"/>
  <sheetViews>
    <sheetView workbookViewId="0"/>
  </sheetViews>
  <sheetFormatPr defaultRowHeight="15" x14ac:dyDescent="0.25"/>
  <cols>
    <col min="1" max="1" width="15" customWidth="1"/>
    <col min="2" max="2" width="19" customWidth="1"/>
    <col min="3" max="3" width="15" customWidth="1"/>
    <col min="4" max="4" width="12" customWidth="1"/>
    <col min="5" max="6" width="18" customWidth="1"/>
    <col min="7" max="7" width="15" customWidth="1"/>
    <col min="8" max="11" width="18" customWidth="1"/>
    <col min="12" max="12" width="15" customWidth="1"/>
    <col min="13" max="13" width="18" customWidth="1"/>
  </cols>
  <sheetData>
    <row r="1" spans="1:13" x14ac:dyDescent="0.25">
      <c r="A1" s="1" t="s">
        <v>33</v>
      </c>
      <c r="B1" s="1" t="s">
        <v>21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  <c r="H1" s="1" t="s">
        <v>39</v>
      </c>
      <c r="I1" s="1" t="s">
        <v>40</v>
      </c>
      <c r="J1" s="1" t="s">
        <v>41</v>
      </c>
      <c r="K1" s="1" t="s">
        <v>42</v>
      </c>
      <c r="L1" s="1" t="s">
        <v>43</v>
      </c>
      <c r="M1" s="1" t="s">
        <v>44</v>
      </c>
    </row>
    <row r="2" spans="1:13" x14ac:dyDescent="0.25">
      <c r="A2" s="2">
        <v>1</v>
      </c>
      <c r="B2" s="3">
        <v>45031</v>
      </c>
      <c r="C2" s="2" t="s">
        <v>45</v>
      </c>
      <c r="D2" s="2">
        <v>4.5999999999999996</v>
      </c>
      <c r="E2" s="2">
        <v>13616</v>
      </c>
      <c r="F2" s="2">
        <v>11525</v>
      </c>
      <c r="G2" s="2">
        <v>132</v>
      </c>
      <c r="H2" s="2">
        <v>5333</v>
      </c>
      <c r="I2" s="2">
        <f>(E2+F2+G2+H2)/D2</f>
        <v>6653.4782608695659</v>
      </c>
      <c r="J2" s="2">
        <v>1.8</v>
      </c>
      <c r="K2" s="2">
        <v>2.89</v>
      </c>
      <c r="L2" s="2">
        <v>1.45</v>
      </c>
      <c r="M2" s="2">
        <v>9.6000000000000002E-2</v>
      </c>
    </row>
    <row r="3" spans="1:13" x14ac:dyDescent="0.25">
      <c r="A3" s="2">
        <v>2</v>
      </c>
      <c r="B3" s="3">
        <v>45069</v>
      </c>
      <c r="C3" s="2" t="s">
        <v>46</v>
      </c>
      <c r="D3" s="2">
        <v>9.1300000000000008</v>
      </c>
      <c r="E3" s="2">
        <v>17405</v>
      </c>
      <c r="F3" s="2">
        <v>12399</v>
      </c>
      <c r="G3" s="2">
        <v>223</v>
      </c>
      <c r="H3" s="2">
        <v>4330</v>
      </c>
      <c r="I3" s="2">
        <f>(E3+F3+G3+H3)/D3</f>
        <v>3763.0887185104048</v>
      </c>
      <c r="J3" s="2">
        <v>3.11</v>
      </c>
      <c r="K3" s="2">
        <v>6.74</v>
      </c>
      <c r="L3" s="2">
        <v>2.57</v>
      </c>
      <c r="M3" s="2">
        <v>0.10100000000000001</v>
      </c>
    </row>
    <row r="4" spans="1:13" x14ac:dyDescent="0.25">
      <c r="A4" s="2">
        <v>3</v>
      </c>
      <c r="B4" s="3">
        <v>44956</v>
      </c>
      <c r="C4" s="2" t="s">
        <v>47</v>
      </c>
      <c r="D4" s="2">
        <v>7.08</v>
      </c>
      <c r="E4" s="2">
        <v>14488</v>
      </c>
      <c r="F4" s="2">
        <v>11920</v>
      </c>
      <c r="G4" s="2">
        <v>288</v>
      </c>
      <c r="H4" s="2">
        <v>6814</v>
      </c>
      <c r="I4" s="2">
        <f>(E4+F4+G4+H4)/D4</f>
        <v>4733.0508474576272</v>
      </c>
      <c r="J4" s="2">
        <v>2.5299999999999998</v>
      </c>
      <c r="K4" s="2">
        <v>3.76</v>
      </c>
      <c r="L4" s="2">
        <v>2.12</v>
      </c>
      <c r="M4" s="2">
        <v>8.7999999999999995E-2</v>
      </c>
    </row>
    <row r="5" spans="1:13" x14ac:dyDescent="0.25">
      <c r="A5" s="2">
        <v>4</v>
      </c>
      <c r="B5" s="3">
        <v>44975</v>
      </c>
      <c r="C5" s="2" t="s">
        <v>48</v>
      </c>
      <c r="D5" s="2">
        <v>7.77</v>
      </c>
      <c r="E5" s="2">
        <v>19491</v>
      </c>
      <c r="F5" s="2">
        <v>13170</v>
      </c>
      <c r="G5" s="2">
        <v>142</v>
      </c>
      <c r="H5" s="2">
        <v>7558</v>
      </c>
      <c r="I5" s="2">
        <f>(E5+F5+G5+H5)/D5</f>
        <v>5194.465894465895</v>
      </c>
      <c r="J5" s="2">
        <v>2.57</v>
      </c>
      <c r="K5" s="2">
        <v>4.72</v>
      </c>
      <c r="L5" s="2">
        <v>2.08</v>
      </c>
      <c r="M5" s="2">
        <v>0.17799999999999999</v>
      </c>
    </row>
    <row r="6" spans="1:13" x14ac:dyDescent="0.25">
      <c r="A6" s="2">
        <v>5</v>
      </c>
      <c r="B6" s="3">
        <v>45001</v>
      </c>
      <c r="C6" s="2" t="s">
        <v>49</v>
      </c>
      <c r="D6" s="2">
        <v>9.1999999999999993</v>
      </c>
      <c r="E6" s="2">
        <v>11622</v>
      </c>
      <c r="F6" s="2">
        <v>13905</v>
      </c>
      <c r="G6" s="2">
        <v>204</v>
      </c>
      <c r="H6" s="2">
        <v>7631</v>
      </c>
      <c r="I6" s="2">
        <f>(E6+F6+G6+H6)/D6</f>
        <v>3626.3043478260875</v>
      </c>
      <c r="J6" s="2">
        <v>3.47</v>
      </c>
      <c r="K6" s="2">
        <v>6.85</v>
      </c>
      <c r="L6" s="2">
        <v>3.06</v>
      </c>
      <c r="M6" s="2">
        <v>9.9000000000000005E-2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E6"/>
  <sheetViews>
    <sheetView workbookViewId="0"/>
  </sheetViews>
  <sheetFormatPr defaultRowHeight="15" x14ac:dyDescent="0.25"/>
  <cols>
    <col min="1" max="1" width="15" customWidth="1"/>
    <col min="2" max="2" width="22.42578125" customWidth="1"/>
    <col min="3" max="4" width="15" customWidth="1"/>
    <col min="5" max="5" width="25" customWidth="1"/>
  </cols>
  <sheetData>
    <row r="1" spans="1:5" x14ac:dyDescent="0.25">
      <c r="A1" s="1" t="s">
        <v>50</v>
      </c>
      <c r="B1" s="1" t="s">
        <v>21</v>
      </c>
      <c r="C1" s="1" t="s">
        <v>51</v>
      </c>
      <c r="D1" s="1" t="s">
        <v>25</v>
      </c>
      <c r="E1" s="1" t="s">
        <v>52</v>
      </c>
    </row>
    <row r="2" spans="1:5" x14ac:dyDescent="0.25">
      <c r="A2" s="2">
        <v>1</v>
      </c>
      <c r="B2" s="3">
        <v>45060</v>
      </c>
      <c r="C2" s="2" t="s">
        <v>7</v>
      </c>
      <c r="D2" s="2">
        <v>449187</v>
      </c>
      <c r="E2" s="2">
        <f>D2/SUM(Заливки!D:D)</f>
        <v>11889.544732662784</v>
      </c>
    </row>
    <row r="3" spans="1:5" x14ac:dyDescent="0.25">
      <c r="A3" s="2">
        <v>2</v>
      </c>
      <c r="B3" s="3">
        <v>45019</v>
      </c>
      <c r="C3" s="2" t="s">
        <v>10</v>
      </c>
      <c r="D3" s="2">
        <v>487567</v>
      </c>
      <c r="E3" s="2">
        <f>D3/SUM(Заливки!D:D)</f>
        <v>12905.426151402859</v>
      </c>
    </row>
    <row r="4" spans="1:5" x14ac:dyDescent="0.25">
      <c r="A4" s="2">
        <v>3</v>
      </c>
      <c r="B4" s="3">
        <v>45000</v>
      </c>
      <c r="C4" s="2" t="s">
        <v>14</v>
      </c>
      <c r="D4" s="2">
        <v>292805</v>
      </c>
      <c r="E4" s="2">
        <f>D4/SUM(Заливки!D:D)</f>
        <v>7750.2646903123341</v>
      </c>
    </row>
    <row r="5" spans="1:5" x14ac:dyDescent="0.25">
      <c r="A5" s="2">
        <v>4</v>
      </c>
      <c r="B5" s="3">
        <v>45092</v>
      </c>
      <c r="C5" s="2" t="s">
        <v>14</v>
      </c>
      <c r="D5" s="2">
        <v>54895</v>
      </c>
      <c r="E5" s="2">
        <f>D5/SUM(Заливки!D:D)</f>
        <v>1453.017469560614</v>
      </c>
    </row>
    <row r="6" spans="1:5" x14ac:dyDescent="0.25">
      <c r="A6" s="2">
        <v>5</v>
      </c>
      <c r="B6" s="3">
        <v>44969</v>
      </c>
      <c r="C6" s="2" t="s">
        <v>14</v>
      </c>
      <c r="D6" s="2">
        <v>272403</v>
      </c>
      <c r="E6" s="2">
        <f>D6/SUM(Заливки!D:D)</f>
        <v>7210.243515087348</v>
      </c>
    </row>
  </sheetData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300-000000000000}">
          <x14:formula1>
            <xm:f>Справочники!$J$2:$J$4</xm:f>
          </x14:formula1>
          <xm:sqref>C2:C100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L13"/>
  <sheetViews>
    <sheetView workbookViewId="0">
      <selection activeCell="E13" sqref="E13"/>
    </sheetView>
  </sheetViews>
  <sheetFormatPr defaultRowHeight="15" x14ac:dyDescent="0.25"/>
  <cols>
    <col min="1" max="1" width="15" customWidth="1"/>
    <col min="2" max="2" width="20" customWidth="1"/>
    <col min="4" max="5" width="20" customWidth="1"/>
    <col min="11" max="11" width="15" customWidth="1"/>
    <col min="12" max="12" width="20" customWidth="1"/>
  </cols>
  <sheetData>
    <row r="1" spans="1:12" x14ac:dyDescent="0.25">
      <c r="A1" s="4" t="s">
        <v>53</v>
      </c>
      <c r="D1" s="4" t="s">
        <v>53</v>
      </c>
      <c r="K1" s="4" t="s">
        <v>53</v>
      </c>
    </row>
    <row r="2" spans="1:12" x14ac:dyDescent="0.25">
      <c r="A2" s="4" t="s">
        <v>54</v>
      </c>
      <c r="D2" s="4" t="s">
        <v>54</v>
      </c>
      <c r="K2" s="4" t="s">
        <v>54</v>
      </c>
    </row>
    <row r="3" spans="1:12" x14ac:dyDescent="0.25">
      <c r="A3" s="4" t="s">
        <v>21</v>
      </c>
      <c r="B3" s="6">
        <v>45784</v>
      </c>
      <c r="D3" s="4" t="s">
        <v>21</v>
      </c>
      <c r="E3" s="5"/>
      <c r="K3" s="4" t="s">
        <v>21</v>
      </c>
      <c r="L3" s="5"/>
    </row>
    <row r="4" spans="1:12" x14ac:dyDescent="0.25">
      <c r="A4" s="4" t="s">
        <v>22</v>
      </c>
      <c r="B4" s="5" t="s">
        <v>8</v>
      </c>
      <c r="D4" s="4" t="s">
        <v>34</v>
      </c>
      <c r="E4" s="5"/>
      <c r="K4" s="4" t="s">
        <v>51</v>
      </c>
      <c r="L4" s="5"/>
    </row>
    <row r="5" spans="1:12" x14ac:dyDescent="0.25">
      <c r="A5" s="4" t="s">
        <v>23</v>
      </c>
      <c r="B5" s="5" t="s">
        <v>9</v>
      </c>
      <c r="D5" s="4" t="s">
        <v>35</v>
      </c>
      <c r="E5" s="5">
        <v>20.2</v>
      </c>
      <c r="K5" s="4" t="s">
        <v>25</v>
      </c>
      <c r="L5" s="5"/>
    </row>
    <row r="6" spans="1:12" x14ac:dyDescent="0.25">
      <c r="A6" s="4" t="s">
        <v>24</v>
      </c>
      <c r="B6" s="5"/>
      <c r="D6" s="4" t="s">
        <v>36</v>
      </c>
      <c r="E6" s="5"/>
    </row>
    <row r="7" spans="1:12" x14ac:dyDescent="0.25">
      <c r="A7" s="4" t="s">
        <v>25</v>
      </c>
      <c r="B7" s="5"/>
      <c r="D7" s="4" t="s">
        <v>37</v>
      </c>
      <c r="E7" s="5"/>
    </row>
    <row r="8" spans="1:12" x14ac:dyDescent="0.25">
      <c r="D8" s="4" t="s">
        <v>38</v>
      </c>
      <c r="E8" s="5"/>
    </row>
    <row r="9" spans="1:12" x14ac:dyDescent="0.25">
      <c r="D9" s="4" t="s">
        <v>39</v>
      </c>
      <c r="E9" s="5"/>
    </row>
    <row r="10" spans="1:12" x14ac:dyDescent="0.25">
      <c r="D10" s="4" t="s">
        <v>41</v>
      </c>
      <c r="E10" s="5"/>
    </row>
    <row r="11" spans="1:12" x14ac:dyDescent="0.25">
      <c r="D11" s="4" t="s">
        <v>42</v>
      </c>
      <c r="E11" s="5"/>
    </row>
    <row r="12" spans="1:12" x14ac:dyDescent="0.25">
      <c r="D12" s="4" t="s">
        <v>43</v>
      </c>
      <c r="E12" s="5"/>
    </row>
    <row r="13" spans="1:12" x14ac:dyDescent="0.25">
      <c r="D13" s="4" t="s">
        <v>44</v>
      </c>
      <c r="E13" s="5"/>
    </row>
  </sheetData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xr:uid="{00000000-0002-0000-0400-000000000000}">
          <x14:formula1>
            <xm:f>Справочники!$B$2:$B$6</xm:f>
          </x14:formula1>
          <xm:sqref>B4</xm:sqref>
        </x14:dataValidation>
        <x14:dataValidation type="list" allowBlank="1" xr:uid="{00000000-0002-0000-0400-000001000000}">
          <x14:formula1>
            <xm:f>Справочники!$E$2:$E$6</xm:f>
          </x14:formula1>
          <xm:sqref>B5</xm:sqref>
        </x14:dataValidation>
        <x14:dataValidation type="list" allowBlank="1" xr:uid="{00000000-0002-0000-0400-000002000000}">
          <x14:formula1>
            <xm:f>Справочники!$J$2:$J$4</xm:f>
          </x14:formula1>
          <xm:sqref>L4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A8"/>
  <sheetViews>
    <sheetView tabSelected="1" workbookViewId="0"/>
  </sheetViews>
  <sheetFormatPr defaultRowHeight="15" x14ac:dyDescent="0.25"/>
  <sheetData>
    <row r="1" spans="1:1" x14ac:dyDescent="0.25">
      <c r="A1" t="s">
        <v>55</v>
      </c>
    </row>
    <row r="2" spans="1:1" x14ac:dyDescent="0.25">
      <c r="A2" t="s">
        <v>56</v>
      </c>
    </row>
    <row r="3" spans="1:1" x14ac:dyDescent="0.25">
      <c r="A3" t="s">
        <v>57</v>
      </c>
    </row>
    <row r="4" spans="1:1" x14ac:dyDescent="0.25">
      <c r="A4" t="s">
        <v>58</v>
      </c>
    </row>
    <row r="5" spans="1:1" x14ac:dyDescent="0.25">
      <c r="A5" t="s">
        <v>59</v>
      </c>
    </row>
    <row r="6" spans="1:1" x14ac:dyDescent="0.25">
      <c r="A6" t="s">
        <v>60</v>
      </c>
    </row>
    <row r="7" spans="1:1" x14ac:dyDescent="0.25">
      <c r="A7" t="s">
        <v>61</v>
      </c>
    </row>
    <row r="8" spans="1:1" x14ac:dyDescent="0.25">
      <c r="A8" t="s">
        <v>62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Справочники</vt:lpstr>
      <vt:lpstr>Закупки</vt:lpstr>
      <vt:lpstr>Заливки</vt:lpstr>
      <vt:lpstr>Финансовые_расходы</vt:lpstr>
      <vt:lpstr>Ввод_данных</vt:lpstr>
      <vt:lpstr>Дашборд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Домокомплекты от ДСК Аврора</cp:lastModifiedBy>
  <dcterms:created xsi:type="dcterms:W3CDTF">2025-05-07T08:57:12Z</dcterms:created>
  <dcterms:modified xsi:type="dcterms:W3CDTF">2025-05-07T09:06:36Z</dcterms:modified>
</cp:coreProperties>
</file>